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Roadmap Sol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charset val="1"/>
      <family val="2"/>
      <color theme="1"/>
      <sz val="11"/>
    </font>
    <font>
      <name val="Times New Roman"/>
      <charset val="1"/>
      <b val="1"/>
      <color rgb="FF000000"/>
      <sz val="14"/>
    </font>
    <font>
      <name val="Times New Roman"/>
      <charset val="1"/>
      <color rgb="FF000000"/>
      <sz val="11"/>
    </font>
    <font>
      <name val="Times New Roman"/>
      <charset val="1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D9D9D9"/>
        <bgColor rgb="FFD9E1F2"/>
      </patternFill>
    </fill>
    <fill>
      <patternFill patternType="solid">
        <fgColor rgb="FFE7E6E6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EEBF7"/>
        <bgColor rgb="FFD9E1F2"/>
      </patternFill>
    </fill>
    <fill>
      <patternFill patternType="solid">
        <fgColor rgb="FFD9E1F2"/>
        <bgColor rgb="FFDEEBF7"/>
      </patternFill>
    </fill>
    <fill>
      <patternFill patternType="solid">
        <fgColor rgb="FFE2EFDA"/>
        <bgColor rgb="FFE7E6E6"/>
      </patternFill>
    </fill>
    <fill>
      <patternFill patternType="solid">
        <fgColor rgb="FFC6E0B4"/>
        <bgColor rgb="FFD9D9D9"/>
      </patternFill>
    </fill>
    <fill>
      <patternFill patternType="solid">
        <fgColor rgb="FFF2F2F2"/>
        <bgColor rgb="FFE7E6E6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10" borderId="1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E7E6E6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88"/>
  <sheetViews>
    <sheetView showGridLines="0" tabSelected="1" zoomScaleNormal="100" workbookViewId="0">
      <pane xSplit="7" ySplit="8" topLeftCell="H42" activePane="bottomRight" state="frozen"/>
      <selection pane="topRight" activeCell="H1" sqref="H1"/>
      <selection pane="bottomLeft" activeCell="A9" sqref="A9"/>
      <selection pane="bottomRight" activeCell="F5" sqref="F5"/>
    </sheetView>
  </sheetViews>
  <sheetFormatPr baseColWidth="8" defaultColWidth="8.6640625" defaultRowHeight="14.4"/>
  <cols>
    <col width="6" customWidth="1" min="1" max="1"/>
    <col width="50" customWidth="1" min="2" max="2"/>
    <col width="14" customWidth="1" min="3" max="3"/>
    <col width="9" customWidth="1" min="4" max="4"/>
    <col width="7" customWidth="1" min="5" max="5"/>
    <col width="14" customWidth="1" min="6" max="6"/>
    <col width="22" customWidth="1" min="7" max="7"/>
    <col width="4.21875" customWidth="1" min="8" max="34"/>
  </cols>
  <sheetData>
    <row r="1" ht="17.4" customHeight="1">
      <c r="A1" s="3" t="inlineStr">
        <is>
          <t>ROADMAP SOLO - SECTORS HACKATHON 2026 (TRACK 3)</t>
        </is>
      </c>
    </row>
    <row r="2">
      <c r="A2" s="4" t="inlineStr">
        <is>
          <t>Satu pengerja, cakupan penuh sembilan fitur. Disusun pada kapasitas 12,5 jam kerja per hari tanpa hari libur.</t>
        </is>
      </c>
    </row>
    <row r="3">
      <c r="A3" s="6" t="inlineStr">
        <is>
          <t>Periode build: 4 - 30 September 2026  |  Deadline submit: 30 September 2026, 23:59 WIB</t>
        </is>
      </c>
    </row>
    <row r="5">
      <c r="A5" s="6" t="inlineStr">
        <is>
          <t>Legend Fase:</t>
        </is>
      </c>
      <c r="B5" s="7" t="inlineStr">
        <is>
          <t>R</t>
        </is>
      </c>
      <c r="C5" s="8" t="inlineStr">
        <is>
          <t>PRD</t>
        </is>
      </c>
      <c r="D5" s="9" t="inlineStr">
        <is>
          <t>PD</t>
        </is>
      </c>
      <c r="E5" s="10" t="inlineStr">
        <is>
          <t>TP</t>
        </is>
      </c>
      <c r="F5" s="11" t="inlineStr">
        <is>
          <t>D</t>
        </is>
      </c>
      <c r="G5" s="12" t="inlineStr">
        <is>
          <t>T</t>
        </is>
      </c>
      <c r="H5" s="13" t="inlineStr">
        <is>
          <t>Live</t>
        </is>
      </c>
    </row>
    <row r="7">
      <c r="H7" s="14" t="inlineStr">
        <is>
          <t>Minggu 1 (4-7 Sep)</t>
        </is>
      </c>
      <c r="I7" s="30" t="n"/>
      <c r="J7" s="30" t="n"/>
      <c r="K7" s="31" t="n"/>
      <c r="L7" s="14" t="inlineStr">
        <is>
          <t>Minggu 2 (8-14 Sep)</t>
        </is>
      </c>
      <c r="M7" s="30" t="n"/>
      <c r="N7" s="30" t="n"/>
      <c r="O7" s="30" t="n"/>
      <c r="P7" s="30" t="n"/>
      <c r="Q7" s="30" t="n"/>
      <c r="R7" s="31" t="n"/>
      <c r="S7" s="14" t="inlineStr">
        <is>
          <t>Minggu 3 (15-21 Sep)</t>
        </is>
      </c>
      <c r="T7" s="30" t="n"/>
      <c r="U7" s="30" t="n"/>
      <c r="V7" s="30" t="n"/>
      <c r="W7" s="30" t="n"/>
      <c r="X7" s="30" t="n"/>
      <c r="Y7" s="31" t="n"/>
      <c r="Z7" s="14" t="inlineStr">
        <is>
          <t>Minggu 4 (22-30 Sep)</t>
        </is>
      </c>
      <c r="AA7" s="30" t="n"/>
      <c r="AB7" s="30" t="n"/>
      <c r="AC7" s="30" t="n"/>
      <c r="AD7" s="30" t="n"/>
      <c r="AE7" s="30" t="n"/>
      <c r="AF7" s="30" t="n"/>
      <c r="AG7" s="30" t="n"/>
      <c r="AH7" s="31" t="n"/>
    </row>
    <row r="8">
      <c r="A8" s="15" t="inlineStr">
        <is>
          <t>No</t>
        </is>
      </c>
      <c r="B8" s="15" t="inlineStr">
        <is>
          <t>TASK</t>
        </is>
      </c>
      <c r="C8" s="15" t="inlineStr">
        <is>
          <t>Kelompok</t>
        </is>
      </c>
      <c r="D8" s="15" t="inlineStr">
        <is>
          <t>Priority</t>
        </is>
      </c>
      <c r="E8" s="15" t="inlineStr">
        <is>
          <t>Jam</t>
        </is>
      </c>
      <c r="F8" s="15" t="inlineStr">
        <is>
          <t>Status</t>
        </is>
      </c>
      <c r="G8" s="15" t="inlineStr">
        <is>
          <t>Dependencies</t>
        </is>
      </c>
      <c r="H8" s="14" t="n">
        <v>4</v>
      </c>
      <c r="I8" s="14" t="n">
        <v>5</v>
      </c>
      <c r="J8" s="14" t="n">
        <v>6</v>
      </c>
      <c r="K8" s="14" t="n">
        <v>7</v>
      </c>
      <c r="L8" s="14" t="n">
        <v>8</v>
      </c>
      <c r="M8" s="14" t="n">
        <v>9</v>
      </c>
      <c r="N8" s="14" t="n">
        <v>10</v>
      </c>
      <c r="O8" s="14" t="n">
        <v>11</v>
      </c>
      <c r="P8" s="14" t="n">
        <v>12</v>
      </c>
      <c r="Q8" s="14" t="n">
        <v>13</v>
      </c>
      <c r="R8" s="14" t="n">
        <v>14</v>
      </c>
      <c r="S8" s="14" t="n">
        <v>15</v>
      </c>
      <c r="T8" s="14" t="n">
        <v>16</v>
      </c>
      <c r="U8" s="14" t="n">
        <v>17</v>
      </c>
      <c r="V8" s="14" t="n">
        <v>18</v>
      </c>
      <c r="W8" s="14" t="n">
        <v>19</v>
      </c>
      <c r="X8" s="14" t="n">
        <v>20</v>
      </c>
      <c r="Y8" s="14" t="n">
        <v>21</v>
      </c>
      <c r="Z8" s="14" t="n">
        <v>22</v>
      </c>
      <c r="AA8" s="14" t="n">
        <v>23</v>
      </c>
      <c r="AB8" s="14" t="n">
        <v>24</v>
      </c>
      <c r="AC8" s="14" t="n">
        <v>25</v>
      </c>
      <c r="AD8" s="14" t="n">
        <v>26</v>
      </c>
      <c r="AE8" s="14" t="n">
        <v>27</v>
      </c>
      <c r="AF8" s="14" t="n">
        <v>28</v>
      </c>
      <c r="AG8" s="14" t="n">
        <v>29</v>
      </c>
      <c r="AH8" s="14" t="n">
        <v>30</v>
      </c>
    </row>
    <row r="9">
      <c r="A9" s="1" t="inlineStr">
        <is>
          <t>KUALIFIKASI</t>
        </is>
      </c>
      <c r="B9" s="30" t="n"/>
      <c r="C9" s="30" t="n"/>
      <c r="D9" s="30" t="n"/>
      <c r="E9" s="30" t="n"/>
      <c r="F9" s="30" t="n"/>
      <c r="G9" s="31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</row>
    <row r="10" ht="27.75" customHeight="1">
      <c r="A10" s="17" t="n">
        <v>1</v>
      </c>
      <c r="B10" s="18" t="inlineStr">
        <is>
          <t>Registrasi tim di portal hackathon</t>
        </is>
      </c>
      <c r="C10" s="19" t="inlineStr">
        <is>
          <t>Kualifikasi</t>
        </is>
      </c>
      <c r="D10" s="17" t="inlineStr">
        <is>
          <t>P1</t>
        </is>
      </c>
      <c r="E10" s="17" t="n">
        <v>1</v>
      </c>
      <c r="F10" s="17" t="inlineStr">
        <is>
          <t>Backlog</t>
        </is>
      </c>
      <c r="G10" s="19" t="inlineStr">
        <is>
          <t>-</t>
        </is>
      </c>
      <c r="H10" s="20" t="inlineStr">
        <is>
          <t>R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</row>
    <row r="11" ht="27.75" customHeight="1">
      <c r="A11" s="17" t="n">
        <v>2</v>
      </c>
      <c r="B11" s="18" t="inlineStr">
        <is>
          <t>Onboarding akun Sectors sampai tuntas</t>
        </is>
      </c>
      <c r="C11" s="19" t="inlineStr">
        <is>
          <t>Kualifikasi</t>
        </is>
      </c>
      <c r="D11" s="17" t="inlineStr">
        <is>
          <t>P1</t>
        </is>
      </c>
      <c r="E11" s="17" t="n">
        <v>2</v>
      </c>
      <c r="F11" s="17" t="inlineStr">
        <is>
          <t>Backlog</t>
        </is>
      </c>
      <c r="G11" s="19" t="inlineStr">
        <is>
          <t>Registrasi</t>
        </is>
      </c>
      <c r="H11" s="20" t="inlineStr">
        <is>
          <t>R</t>
        </is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</row>
    <row r="12" ht="27.75" customHeight="1">
      <c r="A12" s="17" t="n">
        <v>3</v>
      </c>
      <c r="B12" s="18" t="inlineStr">
        <is>
          <t>Klaim 1.000 kredit API (roster terkunci permanen)</t>
        </is>
      </c>
      <c r="C12" s="19" t="inlineStr">
        <is>
          <t>Kualifikasi</t>
        </is>
      </c>
      <c r="D12" s="17" t="inlineStr">
        <is>
          <t>P1</t>
        </is>
      </c>
      <c r="E12" s="17" t="n">
        <v>1</v>
      </c>
      <c r="F12" s="17" t="inlineStr">
        <is>
          <t>Backlog</t>
        </is>
      </c>
      <c r="G12" s="19" t="inlineStr">
        <is>
          <t>Onboarding</t>
        </is>
      </c>
      <c r="H12" s="20" t="inlineStr">
        <is>
          <t>R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</row>
    <row r="13" ht="27.75" customHeight="1">
      <c r="A13" s="17" t="n">
        <v>4</v>
      </c>
      <c r="B13" s="18" t="inlineStr">
        <is>
          <t>Verifikasi ketersediaan dan kedalaman data historis Sectors</t>
        </is>
      </c>
      <c r="C13" s="19" t="inlineStr">
        <is>
          <t>Kualifikasi</t>
        </is>
      </c>
      <c r="D13" s="17" t="inlineStr">
        <is>
          <t>P1</t>
        </is>
      </c>
      <c r="E13" s="17" t="n">
        <v>6</v>
      </c>
      <c r="F13" s="17" t="inlineStr">
        <is>
          <t>Backlog</t>
        </is>
      </c>
      <c r="G13" s="19" t="inlineStr">
        <is>
          <t>Kredit aktif</t>
        </is>
      </c>
      <c r="H13" s="20" t="inlineStr">
        <is>
          <t>R</t>
        </is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</row>
    <row r="14" ht="27.75" customHeight="1">
      <c r="A14" s="17" t="n">
        <v>5</v>
      </c>
      <c r="B14" s="18" t="inlineStr">
        <is>
          <t>Keputusan Go/No-Go fitur F-06, F-07, F-08</t>
        </is>
      </c>
      <c r="C14" s="19" t="inlineStr">
        <is>
          <t>Kualifikasi</t>
        </is>
      </c>
      <c r="D14" s="17" t="inlineStr">
        <is>
          <t>P1</t>
        </is>
      </c>
      <c r="E14" s="17" t="n">
        <v>1</v>
      </c>
      <c r="F14" s="17" t="inlineStr">
        <is>
          <t>Backlog</t>
        </is>
      </c>
      <c r="G14" s="19" t="inlineStr">
        <is>
          <t>Verifikasi data</t>
        </is>
      </c>
      <c r="H14" s="20" t="inlineStr">
        <is>
          <t>R</t>
        </is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</row>
    <row r="15">
      <c r="A15" s="1" t="inlineStr">
        <is>
          <t>DEFINISI</t>
        </is>
      </c>
      <c r="B15" s="30" t="n"/>
      <c r="C15" s="30" t="n"/>
      <c r="D15" s="30" t="n"/>
      <c r="E15" s="30" t="n"/>
      <c r="F15" s="30" t="n"/>
      <c r="G15" s="31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</row>
    <row r="16" ht="27.75" customHeight="1">
      <c r="A16" s="17" t="n">
        <v>6</v>
      </c>
      <c r="B16" s="18" t="inlineStr">
        <is>
          <t>Finalisasi PRD dan penguncian ruang lingkup</t>
        </is>
      </c>
      <c r="C16" s="19" t="inlineStr">
        <is>
          <t>Definisi</t>
        </is>
      </c>
      <c r="D16" s="17" t="inlineStr">
        <is>
          <t>P1</t>
        </is>
      </c>
      <c r="E16" s="17" t="n">
        <v>4</v>
      </c>
      <c r="F16" s="17" t="inlineStr">
        <is>
          <t>Backlog</t>
        </is>
      </c>
      <c r="G16" s="19" t="inlineStr">
        <is>
          <t>Go/No-Go data</t>
        </is>
      </c>
      <c r="H16" s="22" t="inlineStr">
        <is>
          <t>PRD</t>
        </is>
      </c>
      <c r="I16" s="22" t="inlineStr">
        <is>
          <t>PRD</t>
        </is>
      </c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</row>
    <row r="17">
      <c r="A17" s="1" t="inlineStr">
        <is>
          <t>FONDASI</t>
        </is>
      </c>
      <c r="B17" s="30" t="n"/>
      <c r="C17" s="30" t="n"/>
      <c r="D17" s="30" t="n"/>
      <c r="E17" s="30" t="n"/>
      <c r="F17" s="30" t="n"/>
      <c r="G17" s="31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</row>
    <row r="18" ht="27.75" customHeight="1">
      <c r="A18" s="17" t="n">
        <v>7</v>
      </c>
      <c r="B18" s="18" t="inlineStr">
        <is>
          <t>Pembuatan repositori dan struktur direktori</t>
        </is>
      </c>
      <c r="C18" s="19" t="inlineStr">
        <is>
          <t>Fondasi</t>
        </is>
      </c>
      <c r="D18" s="17" t="inlineStr">
        <is>
          <t>P1</t>
        </is>
      </c>
      <c r="E18" s="17" t="n">
        <v>3</v>
      </c>
      <c r="F18" s="17" t="inlineStr">
        <is>
          <t>Done</t>
        </is>
      </c>
      <c r="G18" s="19" t="inlineStr">
        <is>
          <t>Scope terkunci</t>
        </is>
      </c>
      <c r="H18" s="21" t="n"/>
      <c r="I18" s="23" t="inlineStr">
        <is>
          <t>TP</t>
        </is>
      </c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</row>
    <row r="19" ht="27.75" customHeight="1">
      <c r="A19" s="17" t="n">
        <v>8</v>
      </c>
      <c r="B19" s="18" t="inlineStr">
        <is>
          <t>Klien Sectors API/MCP dan lapisan normalisasi data</t>
        </is>
      </c>
      <c r="C19" s="19" t="inlineStr">
        <is>
          <t>Fondasi</t>
        </is>
      </c>
      <c r="D19" s="17" t="inlineStr">
        <is>
          <t>P1</t>
        </is>
      </c>
      <c r="E19" s="17" t="n">
        <v>12</v>
      </c>
      <c r="F19" s="17" t="inlineStr">
        <is>
          <t>Done</t>
        </is>
      </c>
      <c r="G19" s="19" t="inlineStr">
        <is>
          <t>Repositori</t>
        </is>
      </c>
      <c r="H19" s="21" t="n"/>
      <c r="I19" s="24" t="inlineStr">
        <is>
          <t>D</t>
        </is>
      </c>
      <c r="J19" s="24" t="inlineStr">
        <is>
          <t>D</t>
        </is>
      </c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</row>
    <row r="20" ht="27.75" customHeight="1">
      <c r="A20" s="17" t="n">
        <v>9</v>
      </c>
      <c r="B20" s="18" t="inlineStr">
        <is>
          <t>Mekanisme cache penghemat kredit API</t>
        </is>
      </c>
      <c r="C20" s="19" t="inlineStr">
        <is>
          <t>Fondasi</t>
        </is>
      </c>
      <c r="D20" s="17" t="inlineStr">
        <is>
          <t>P1</t>
        </is>
      </c>
      <c r="E20" s="17" t="n">
        <v>6</v>
      </c>
      <c r="F20" s="17" t="inlineStr">
        <is>
          <t>Done</t>
        </is>
      </c>
      <c r="G20" s="19" t="inlineStr">
        <is>
          <t>Klien API</t>
        </is>
      </c>
      <c r="H20" s="21" t="n"/>
      <c r="I20" s="21" t="n"/>
      <c r="J20" s="24" t="inlineStr">
        <is>
          <t>D</t>
        </is>
      </c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</row>
    <row r="21">
      <c r="A21" s="1" t="inlineStr">
        <is>
          <t>DEFINISI</t>
        </is>
      </c>
      <c r="B21" s="30" t="n"/>
      <c r="C21" s="30" t="n"/>
      <c r="D21" s="30" t="n"/>
      <c r="E21" s="30" t="n"/>
      <c r="F21" s="30" t="n"/>
      <c r="G21" s="31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</row>
    <row r="22" ht="27.75" customHeight="1">
      <c r="A22" s="17" t="n">
        <v>10</v>
      </c>
      <c r="B22" s="18" t="inlineStr">
        <is>
          <t>Definisi formula skor komposit, komponen, dan bobot</t>
        </is>
      </c>
      <c r="C22" s="19" t="inlineStr">
        <is>
          <t>Definisi</t>
        </is>
      </c>
      <c r="D22" s="17" t="inlineStr">
        <is>
          <t>P1</t>
        </is>
      </c>
      <c r="E22" s="17" t="n">
        <v>8</v>
      </c>
      <c r="F22" s="17" t="inlineStr">
        <is>
          <t>Backlog</t>
        </is>
      </c>
      <c r="G22" s="19" t="inlineStr">
        <is>
          <t>Verifikasi data</t>
        </is>
      </c>
      <c r="H22" s="21" t="n"/>
      <c r="I22" s="21" t="n"/>
      <c r="J22" s="22" t="inlineStr">
        <is>
          <t>PRD</t>
        </is>
      </c>
      <c r="K22" s="22" t="inlineStr">
        <is>
          <t>PRD</t>
        </is>
      </c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</row>
    <row r="23">
      <c r="A23" s="1" t="inlineStr">
        <is>
          <t>ANALISIS</t>
        </is>
      </c>
      <c r="B23" s="30" t="n"/>
      <c r="C23" s="30" t="n"/>
      <c r="D23" s="30" t="n"/>
      <c r="E23" s="30" t="n"/>
      <c r="F23" s="30" t="n"/>
      <c r="G23" s="31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</row>
    <row r="24" ht="27.75" customHeight="1">
      <c r="A24" s="17" t="n">
        <v>11</v>
      </c>
      <c r="B24" s="18" t="inlineStr">
        <is>
          <t>F-01 Mesin skor komposit fundamental</t>
        </is>
      </c>
      <c r="C24" s="19" t="inlineStr">
        <is>
          <t>Analisis</t>
        </is>
      </c>
      <c r="D24" s="17" t="inlineStr">
        <is>
          <t>P1</t>
        </is>
      </c>
      <c r="E24" s="17" t="n">
        <v>14</v>
      </c>
      <c r="F24" s="17" t="inlineStr">
        <is>
          <t>Backlog</t>
        </is>
      </c>
      <c r="G24" s="19" t="inlineStr">
        <is>
          <t>Formula skor</t>
        </is>
      </c>
      <c r="H24" s="21" t="n"/>
      <c r="I24" s="21" t="n"/>
      <c r="J24" s="21" t="n"/>
      <c r="K24" s="24" t="inlineStr">
        <is>
          <t>D</t>
        </is>
      </c>
      <c r="L24" s="24" t="inlineStr">
        <is>
          <t>D</t>
        </is>
      </c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</row>
    <row r="25">
      <c r="A25" s="1" t="inlineStr">
        <is>
          <t>ANTARMUKA</t>
        </is>
      </c>
      <c r="B25" s="30" t="n"/>
      <c r="C25" s="30" t="n"/>
      <c r="D25" s="30" t="n"/>
      <c r="E25" s="30" t="n"/>
      <c r="F25" s="30" t="n"/>
      <c r="G25" s="31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</row>
    <row r="26" ht="27.75" customHeight="1">
      <c r="A26" s="17" t="n">
        <v>12</v>
      </c>
      <c r="B26" s="18" t="inlineStr">
        <is>
          <t>Inisialisasi proyek frontend dan komponen dasar</t>
        </is>
      </c>
      <c r="C26" s="19" t="inlineStr">
        <is>
          <t>Antarmuka</t>
        </is>
      </c>
      <c r="D26" s="17" t="inlineStr">
        <is>
          <t>P1</t>
        </is>
      </c>
      <c r="E26" s="17" t="n">
        <v>5</v>
      </c>
      <c r="F26" s="17" t="inlineStr">
        <is>
          <t>Backlog</t>
        </is>
      </c>
      <c r="G26" s="19" t="inlineStr">
        <is>
          <t>Repositori</t>
        </is>
      </c>
      <c r="H26" s="21" t="n"/>
      <c r="I26" s="21" t="n"/>
      <c r="J26" s="21" t="n"/>
      <c r="K26" s="21" t="n"/>
      <c r="L26" s="23" t="inlineStr">
        <is>
          <t>TP</t>
        </is>
      </c>
      <c r="M26" s="23" t="inlineStr">
        <is>
          <t>TP</t>
        </is>
      </c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</row>
    <row r="27" ht="27.75" customHeight="1">
      <c r="A27" s="17" t="n">
        <v>13</v>
      </c>
      <c r="B27" s="18" t="inlineStr">
        <is>
          <t>Wireframe halaman utama, screener, dan detail emiten</t>
        </is>
      </c>
      <c r="C27" s="19" t="inlineStr">
        <is>
          <t>Antarmuka</t>
        </is>
      </c>
      <c r="D27" s="17" t="inlineStr">
        <is>
          <t>P1</t>
        </is>
      </c>
      <c r="E27" s="17" t="n">
        <v>5</v>
      </c>
      <c r="F27" s="17" t="inlineStr">
        <is>
          <t>Backlog</t>
        </is>
      </c>
      <c r="G27" s="19" t="inlineStr">
        <is>
          <t>PRD final</t>
        </is>
      </c>
      <c r="H27" s="21" t="n"/>
      <c r="I27" s="21" t="n"/>
      <c r="J27" s="21" t="n"/>
      <c r="K27" s="21" t="n"/>
      <c r="L27" s="21" t="n"/>
      <c r="M27" s="25" t="inlineStr">
        <is>
          <t>PD</t>
        </is>
      </c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</row>
    <row r="28">
      <c r="A28" s="1" t="inlineStr">
        <is>
          <t>ANALISIS</t>
        </is>
      </c>
      <c r="B28" s="30" t="n"/>
      <c r="C28" s="30" t="n"/>
      <c r="D28" s="30" t="n"/>
      <c r="E28" s="30" t="n"/>
      <c r="F28" s="30" t="n"/>
      <c r="G28" s="31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</row>
    <row r="29" ht="27.75" customHeight="1">
      <c r="A29" s="17" t="n">
        <v>14</v>
      </c>
      <c r="B29" s="18" t="inlineStr">
        <is>
          <t>F-02 Logika screener dan pemeringkatan</t>
        </is>
      </c>
      <c r="C29" s="19" t="inlineStr">
        <is>
          <t>Analisis</t>
        </is>
      </c>
      <c r="D29" s="17" t="inlineStr">
        <is>
          <t>P1</t>
        </is>
      </c>
      <c r="E29" s="17" t="n">
        <v>12</v>
      </c>
      <c r="F29" s="17" t="inlineStr">
        <is>
          <t>Backlog</t>
        </is>
      </c>
      <c r="G29" s="19" t="inlineStr">
        <is>
          <t>F-01</t>
        </is>
      </c>
      <c r="H29" s="21" t="n"/>
      <c r="I29" s="21" t="n"/>
      <c r="J29" s="21" t="n"/>
      <c r="K29" s="21" t="n"/>
      <c r="L29" s="21" t="n"/>
      <c r="M29" s="24" t="inlineStr">
        <is>
          <t>D</t>
        </is>
      </c>
      <c r="N29" s="24" t="inlineStr">
        <is>
          <t>D</t>
        </is>
      </c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</row>
    <row r="30">
      <c r="A30" s="1" t="inlineStr">
        <is>
          <t>ANTARMUKA</t>
        </is>
      </c>
      <c r="B30" s="30" t="n"/>
      <c r="C30" s="30" t="n"/>
      <c r="D30" s="30" t="n"/>
      <c r="E30" s="30" t="n"/>
      <c r="F30" s="30" t="n"/>
      <c r="G30" s="31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</row>
    <row r="31" ht="27.75" customHeight="1">
      <c r="A31" s="17" t="n">
        <v>15</v>
      </c>
      <c r="B31" s="18" t="inlineStr">
        <is>
          <t>Halaman screener dan tabel peringkat emiten</t>
        </is>
      </c>
      <c r="C31" s="19" t="inlineStr">
        <is>
          <t>Antarmuka</t>
        </is>
      </c>
      <c r="D31" s="17" t="inlineStr">
        <is>
          <t>P1</t>
        </is>
      </c>
      <c r="E31" s="17" t="n">
        <v>14</v>
      </c>
      <c r="F31" s="17" t="inlineStr">
        <is>
          <t>Backlog</t>
        </is>
      </c>
      <c r="G31" s="19" t="inlineStr">
        <is>
          <t>F-02</t>
        </is>
      </c>
      <c r="H31" s="21" t="n"/>
      <c r="I31" s="21" t="n"/>
      <c r="J31" s="21" t="n"/>
      <c r="K31" s="21" t="n"/>
      <c r="L31" s="21" t="n"/>
      <c r="M31" s="21" t="n"/>
      <c r="N31" s="24" t="inlineStr">
        <is>
          <t>D</t>
        </is>
      </c>
      <c r="O31" s="24" t="inlineStr">
        <is>
          <t>D</t>
        </is>
      </c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</row>
    <row r="32">
      <c r="A32" s="1" t="inlineStr">
        <is>
          <t>ANALISIS</t>
        </is>
      </c>
      <c r="B32" s="30" t="n"/>
      <c r="C32" s="30" t="n"/>
      <c r="D32" s="30" t="n"/>
      <c r="E32" s="30" t="n"/>
      <c r="F32" s="30" t="n"/>
      <c r="G32" s="31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</row>
    <row r="33" ht="27.75" customHeight="1">
      <c r="A33" s="17" t="n">
        <v>16</v>
      </c>
      <c r="B33" s="18" t="inlineStr">
        <is>
          <t>F-03 Kelompok peer dan perhitungan persentil</t>
        </is>
      </c>
      <c r="C33" s="19" t="inlineStr">
        <is>
          <t>Analisis</t>
        </is>
      </c>
      <c r="D33" s="17" t="inlineStr">
        <is>
          <t>P1</t>
        </is>
      </c>
      <c r="E33" s="17" t="n">
        <v>12</v>
      </c>
      <c r="F33" s="17" t="inlineStr">
        <is>
          <t>Backlog</t>
        </is>
      </c>
      <c r="G33" s="19" t="inlineStr">
        <is>
          <t>F-01</t>
        </is>
      </c>
      <c r="H33" s="21" t="n"/>
      <c r="I33" s="21" t="n"/>
      <c r="J33" s="21" t="n"/>
      <c r="K33" s="21" t="n"/>
      <c r="L33" s="21" t="n"/>
      <c r="M33" s="21" t="n"/>
      <c r="N33" s="21" t="n"/>
      <c r="O33" s="24" t="inlineStr">
        <is>
          <t>D</t>
        </is>
      </c>
      <c r="P33" s="24" t="inlineStr">
        <is>
          <t>D</t>
        </is>
      </c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</row>
    <row r="34">
      <c r="A34" s="1" t="inlineStr">
        <is>
          <t>ANTARMUKA</t>
        </is>
      </c>
      <c r="B34" s="30" t="n"/>
      <c r="C34" s="30" t="n"/>
      <c r="D34" s="30" t="n"/>
      <c r="E34" s="30" t="n"/>
      <c r="F34" s="30" t="n"/>
      <c r="G34" s="31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</row>
    <row r="35" ht="27.75" customHeight="1">
      <c r="A35" s="17" t="n">
        <v>17</v>
      </c>
      <c r="B35" s="18" t="inlineStr">
        <is>
          <t>Halaman detail emiten dan rincian komponen skor</t>
        </is>
      </c>
      <c r="C35" s="19" t="inlineStr">
        <is>
          <t>Antarmuka</t>
        </is>
      </c>
      <c r="D35" s="17" t="inlineStr">
        <is>
          <t>P1</t>
        </is>
      </c>
      <c r="E35" s="17" t="n">
        <v>14</v>
      </c>
      <c r="F35" s="17" t="inlineStr">
        <is>
          <t>Backlog</t>
        </is>
      </c>
      <c r="G35" s="19" t="inlineStr">
        <is>
          <t>F-01</t>
        </is>
      </c>
      <c r="H35" s="21" t="n"/>
      <c r="I35" s="21" t="n"/>
      <c r="J35" s="21" t="n"/>
      <c r="K35" s="21" t="n"/>
      <c r="L35" s="21" t="n"/>
      <c r="M35" s="21" t="n"/>
      <c r="N35" s="21" t="n"/>
      <c r="O35" s="21" t="n"/>
      <c r="P35" s="24" t="inlineStr">
        <is>
          <t>D</t>
        </is>
      </c>
      <c r="Q35" s="24" t="inlineStr">
        <is>
          <t>D</t>
        </is>
      </c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</row>
    <row r="36" ht="27.75" customHeight="1">
      <c r="A36" s="17" t="n">
        <v>18</v>
      </c>
      <c r="B36" s="18" t="inlineStr">
        <is>
          <t>Tampilan perbandingan peer dan posisi persentil</t>
        </is>
      </c>
      <c r="C36" s="19" t="inlineStr">
        <is>
          <t>Antarmuka</t>
        </is>
      </c>
      <c r="D36" s="17" t="inlineStr">
        <is>
          <t>P1</t>
        </is>
      </c>
      <c r="E36" s="17" t="n">
        <v>10</v>
      </c>
      <c r="F36" s="17" t="inlineStr">
        <is>
          <t>Backlog</t>
        </is>
      </c>
      <c r="G36" s="19" t="inlineStr">
        <is>
          <t>F-03</t>
        </is>
      </c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4" t="inlineStr">
        <is>
          <t>D</t>
        </is>
      </c>
      <c r="R36" s="24" t="inlineStr">
        <is>
          <t>D</t>
        </is>
      </c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</row>
    <row r="37">
      <c r="A37" s="1" t="inlineStr">
        <is>
          <t>DEFINISI</t>
        </is>
      </c>
      <c r="B37" s="30" t="n"/>
      <c r="C37" s="30" t="n"/>
      <c r="D37" s="30" t="n"/>
      <c r="E37" s="30" t="n"/>
      <c r="F37" s="30" t="n"/>
      <c r="G37" s="31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</row>
    <row r="38" ht="27.75" customHeight="1">
      <c r="A38" s="17" t="n">
        <v>19</v>
      </c>
      <c r="B38" s="18" t="inlineStr">
        <is>
          <t>Definisi kriteria framework investasi preset</t>
        </is>
      </c>
      <c r="C38" s="19" t="inlineStr">
        <is>
          <t>Definisi</t>
        </is>
      </c>
      <c r="D38" s="17" t="inlineStr">
        <is>
          <t>P2</t>
        </is>
      </c>
      <c r="E38" s="17" t="n">
        <v>5</v>
      </c>
      <c r="F38" s="17" t="inlineStr">
        <is>
          <t>Backlog</t>
        </is>
      </c>
      <c r="G38" s="19" t="inlineStr">
        <is>
          <t>Formula skor</t>
        </is>
      </c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2" t="inlineStr">
        <is>
          <t>PRD</t>
        </is>
      </c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</row>
    <row r="39">
      <c r="A39" s="1" t="inlineStr">
        <is>
          <t>ANALISIS</t>
        </is>
      </c>
      <c r="B39" s="30" t="n"/>
      <c r="C39" s="30" t="n"/>
      <c r="D39" s="30" t="n"/>
      <c r="E39" s="30" t="n"/>
      <c r="F39" s="30" t="n"/>
      <c r="G39" s="31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</row>
    <row r="40" ht="27.75" customHeight="1">
      <c r="A40" s="17" t="n">
        <v>20</v>
      </c>
      <c r="B40" s="18" t="inlineStr">
        <is>
          <t>F-04 Klasifikasi framework investasi preset</t>
        </is>
      </c>
      <c r="C40" s="19" t="inlineStr">
        <is>
          <t>Analisis</t>
        </is>
      </c>
      <c r="D40" s="17" t="inlineStr">
        <is>
          <t>P2</t>
        </is>
      </c>
      <c r="E40" s="17" t="n">
        <v>8</v>
      </c>
      <c r="F40" s="17" t="inlineStr">
        <is>
          <t>Backlog</t>
        </is>
      </c>
      <c r="G40" s="19" t="inlineStr">
        <is>
          <t>Kriteria framework</t>
        </is>
      </c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4" t="inlineStr">
        <is>
          <t>D</t>
        </is>
      </c>
      <c r="S40" s="24" t="inlineStr">
        <is>
          <t>D</t>
        </is>
      </c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</row>
    <row r="41">
      <c r="A41" s="1" t="inlineStr">
        <is>
          <t>ANTARMUKA</t>
        </is>
      </c>
      <c r="B41" s="30" t="n"/>
      <c r="C41" s="30" t="n"/>
      <c r="D41" s="30" t="n"/>
      <c r="E41" s="30" t="n"/>
      <c r="F41" s="30" t="n"/>
      <c r="G41" s="31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</row>
    <row r="42" ht="27.75" customHeight="1">
      <c r="A42" s="17" t="n">
        <v>21</v>
      </c>
      <c r="B42" s="18" t="inlineStr">
        <is>
          <t>Tampilan klasifikasi framework preset</t>
        </is>
      </c>
      <c r="C42" s="19" t="inlineStr">
        <is>
          <t>Antarmuka</t>
        </is>
      </c>
      <c r="D42" s="17" t="inlineStr">
        <is>
          <t>P2</t>
        </is>
      </c>
      <c r="E42" s="17" t="n">
        <v>6</v>
      </c>
      <c r="F42" s="17" t="inlineStr">
        <is>
          <t>Backlog</t>
        </is>
      </c>
      <c r="G42" s="19" t="inlineStr">
        <is>
          <t>F-04</t>
        </is>
      </c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4" t="inlineStr">
        <is>
          <t>D</t>
        </is>
      </c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</row>
    <row r="43">
      <c r="A43" s="1" t="inlineStr">
        <is>
          <t>KENDALI</t>
        </is>
      </c>
      <c r="B43" s="30" t="n"/>
      <c r="C43" s="30" t="n"/>
      <c r="D43" s="30" t="n"/>
      <c r="E43" s="30" t="n"/>
      <c r="F43" s="30" t="n"/>
      <c r="G43" s="31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</row>
    <row r="44" ht="27.75" customHeight="1">
      <c r="A44" s="17" t="n">
        <v>22</v>
      </c>
      <c r="B44" s="18" t="inlineStr">
        <is>
          <t>Titik keputusan Go/No-Go pemangkasan fitur P3 dan P4</t>
        </is>
      </c>
      <c r="C44" s="19" t="inlineStr">
        <is>
          <t>Kendali</t>
        </is>
      </c>
      <c r="D44" s="17" t="inlineStr">
        <is>
          <t>P1</t>
        </is>
      </c>
      <c r="E44" s="17" t="n">
        <v>1</v>
      </c>
      <c r="F44" s="17" t="inlineStr">
        <is>
          <t>Backlog</t>
        </is>
      </c>
      <c r="G44" s="19" t="inlineStr">
        <is>
          <t>Status P1-P2</t>
        </is>
      </c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6" t="inlineStr">
        <is>
          <t>T</t>
        </is>
      </c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</row>
    <row r="45">
      <c r="A45" s="1" t="inlineStr">
        <is>
          <t>DEFINISI</t>
        </is>
      </c>
      <c r="B45" s="30" t="n"/>
      <c r="C45" s="30" t="n"/>
      <c r="D45" s="30" t="n"/>
      <c r="E45" s="30" t="n"/>
      <c r="F45" s="30" t="n"/>
      <c r="G45" s="31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</row>
    <row r="46" ht="27.75" customHeight="1">
      <c r="A46" s="17" t="n">
        <v>23</v>
      </c>
      <c r="B46" s="18" t="inlineStr">
        <is>
          <t>Penyusunan kamus istilah untuk AI Explainer</t>
        </is>
      </c>
      <c r="C46" s="19" t="inlineStr">
        <is>
          <t>Definisi</t>
        </is>
      </c>
      <c r="D46" s="17" t="inlineStr">
        <is>
          <t>P2</t>
        </is>
      </c>
      <c r="E46" s="17" t="n">
        <v>8</v>
      </c>
      <c r="F46" s="17" t="inlineStr">
        <is>
          <t>Backlog</t>
        </is>
      </c>
      <c r="G46" s="19" t="inlineStr">
        <is>
          <t>Metrik final</t>
        </is>
      </c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2" t="inlineStr">
        <is>
          <t>PRD</t>
        </is>
      </c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</row>
    <row r="47">
      <c r="A47" s="1" t="inlineStr">
        <is>
          <t>AI</t>
        </is>
      </c>
      <c r="B47" s="30" t="n"/>
      <c r="C47" s="30" t="n"/>
      <c r="D47" s="30" t="n"/>
      <c r="E47" s="30" t="n"/>
      <c r="F47" s="30" t="n"/>
      <c r="G47" s="31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</row>
    <row r="48" ht="27.75" customHeight="1">
      <c r="A48" s="17" t="n">
        <v>24</v>
      </c>
      <c r="B48" s="18" t="inlineStr">
        <is>
          <t>F-05 Penyusun konteks dan integrasi penyedia AI generatif</t>
        </is>
      </c>
      <c r="C48" s="19" t="inlineStr">
        <is>
          <t>AI</t>
        </is>
      </c>
      <c r="D48" s="17" t="inlineStr">
        <is>
          <t>P2</t>
        </is>
      </c>
      <c r="E48" s="17" t="n">
        <v>16</v>
      </c>
      <c r="F48" s="17" t="inlineStr">
        <is>
          <t>Backlog</t>
        </is>
      </c>
      <c r="G48" s="19" t="inlineStr">
        <is>
          <t>F-01, F-03, kunci AI</t>
        </is>
      </c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4" t="inlineStr">
        <is>
          <t>D</t>
        </is>
      </c>
      <c r="U48" s="24" t="inlineStr">
        <is>
          <t>D</t>
        </is>
      </c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</row>
    <row r="49">
      <c r="A49" s="1" t="inlineStr">
        <is>
          <t>ANTARMUKA</t>
        </is>
      </c>
      <c r="B49" s="30" t="n"/>
      <c r="C49" s="30" t="n"/>
      <c r="D49" s="30" t="n"/>
      <c r="E49" s="30" t="n"/>
      <c r="F49" s="30" t="n"/>
      <c r="G49" s="31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</row>
    <row r="50" ht="27.75" customHeight="1">
      <c r="A50" s="17" t="n">
        <v>25</v>
      </c>
      <c r="B50" s="18" t="inlineStr">
        <is>
          <t>Panel tanya jawab AI Contextual Explainer</t>
        </is>
      </c>
      <c r="C50" s="19" t="inlineStr">
        <is>
          <t>Antarmuka</t>
        </is>
      </c>
      <c r="D50" s="17" t="inlineStr">
        <is>
          <t>P2</t>
        </is>
      </c>
      <c r="E50" s="17" t="n">
        <v>12</v>
      </c>
      <c r="F50" s="17" t="inlineStr">
        <is>
          <t>Backlog</t>
        </is>
      </c>
      <c r="G50" s="19" t="inlineStr">
        <is>
          <t>F-05</t>
        </is>
      </c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4" t="inlineStr">
        <is>
          <t>D</t>
        </is>
      </c>
      <c r="V50" s="24" t="inlineStr">
        <is>
          <t>D</t>
        </is>
      </c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</row>
    <row r="51">
      <c r="A51" s="1" t="inlineStr">
        <is>
          <t>KENDALI</t>
        </is>
      </c>
      <c r="B51" s="30" t="n"/>
      <c r="C51" s="30" t="n"/>
      <c r="D51" s="30" t="n"/>
      <c r="E51" s="30" t="n"/>
      <c r="F51" s="30" t="n"/>
      <c r="G51" s="31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</row>
    <row r="52" ht="27.75" customHeight="1">
      <c r="A52" s="17" t="n">
        <v>26</v>
      </c>
      <c r="B52" s="18" t="inlineStr">
        <is>
          <t>Uji daftar pertanyaan rawan terhadap lapisan AI</t>
        </is>
      </c>
      <c r="C52" s="19" t="inlineStr">
        <is>
          <t>Kendali</t>
        </is>
      </c>
      <c r="D52" s="17" t="inlineStr">
        <is>
          <t>P1</t>
        </is>
      </c>
      <c r="E52" s="17" t="n">
        <v>5</v>
      </c>
      <c r="F52" s="17" t="inlineStr">
        <is>
          <t>Backlog</t>
        </is>
      </c>
      <c r="G52" s="19" t="inlineStr">
        <is>
          <t>F-05</t>
        </is>
      </c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6" t="inlineStr">
        <is>
          <t>T</t>
        </is>
      </c>
      <c r="W52" s="26" t="inlineStr">
        <is>
          <t>T</t>
        </is>
      </c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</row>
    <row r="53">
      <c r="A53" s="1" t="inlineStr">
        <is>
          <t>HISTORIS</t>
        </is>
      </c>
      <c r="B53" s="30" t="n"/>
      <c r="C53" s="30" t="n"/>
      <c r="D53" s="30" t="n"/>
      <c r="E53" s="30" t="n"/>
      <c r="F53" s="30" t="n"/>
      <c r="G53" s="31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</row>
    <row r="54" ht="27.75" customHeight="1">
      <c r="A54" s="17" t="n">
        <v>27</v>
      </c>
      <c r="B54" s="18" t="inlineStr">
        <is>
          <t>F-06 Deteksi anomali volume dan harga serta berita terkait</t>
        </is>
      </c>
      <c r="C54" s="19" t="inlineStr">
        <is>
          <t>Historis</t>
        </is>
      </c>
      <c r="D54" s="17" t="inlineStr">
        <is>
          <t>P2</t>
        </is>
      </c>
      <c r="E54" s="17" t="n">
        <v>14</v>
      </c>
      <c r="F54" s="17" t="inlineStr">
        <is>
          <t>Backlog</t>
        </is>
      </c>
      <c r="G54" s="19" t="inlineStr">
        <is>
          <t>Data historis</t>
        </is>
      </c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4" t="inlineStr">
        <is>
          <t>D</t>
        </is>
      </c>
      <c r="X54" s="24" t="inlineStr">
        <is>
          <t>D</t>
        </is>
      </c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</row>
    <row r="55" ht="27.75" customHeight="1">
      <c r="A55" s="17" t="n">
        <v>28</v>
      </c>
      <c r="B55" s="18" t="inlineStr">
        <is>
          <t>F-07 Pengenalan pola candlestick berbasis aturan</t>
        </is>
      </c>
      <c r="C55" s="19" t="inlineStr">
        <is>
          <t>Historis</t>
        </is>
      </c>
      <c r="D55" s="17" t="inlineStr">
        <is>
          <t>P3</t>
        </is>
      </c>
      <c r="E55" s="17" t="n">
        <v>14</v>
      </c>
      <c r="F55" s="17" t="inlineStr">
        <is>
          <t>Backlog</t>
        </is>
      </c>
      <c r="G55" s="19" t="inlineStr">
        <is>
          <t>Data historis</t>
        </is>
      </c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4" t="inlineStr">
        <is>
          <t>D</t>
        </is>
      </c>
      <c r="Y55" s="24" t="inlineStr">
        <is>
          <t>D</t>
        </is>
      </c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</row>
    <row r="56" ht="27.75" customHeight="1">
      <c r="A56" s="17" t="n">
        <v>29</v>
      </c>
      <c r="B56" s="18" t="inlineStr">
        <is>
          <t>F-08 Indikator teknikal rata-rata bergerak dan RSI</t>
        </is>
      </c>
      <c r="C56" s="19" t="inlineStr">
        <is>
          <t>Historis</t>
        </is>
      </c>
      <c r="D56" s="17" t="inlineStr">
        <is>
          <t>P3</t>
        </is>
      </c>
      <c r="E56" s="17" t="n">
        <v>6</v>
      </c>
      <c r="F56" s="17" t="inlineStr">
        <is>
          <t>Backlog</t>
        </is>
      </c>
      <c r="G56" s="19" t="inlineStr">
        <is>
          <t>F-07</t>
        </is>
      </c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4" t="inlineStr">
        <is>
          <t>D</t>
        </is>
      </c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</row>
    <row r="57">
      <c r="A57" s="1" t="inlineStr">
        <is>
          <t>ANTARMUKA</t>
        </is>
      </c>
      <c r="B57" s="30" t="n"/>
      <c r="C57" s="30" t="n"/>
      <c r="D57" s="30" t="n"/>
      <c r="E57" s="30" t="n"/>
      <c r="F57" s="30" t="n"/>
      <c r="G57" s="31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</row>
    <row r="58" ht="27.75" customHeight="1">
      <c r="A58" s="17" t="n">
        <v>30</v>
      </c>
      <c r="B58" s="18" t="inlineStr">
        <is>
          <t>Grafik harga dengan penanda pola dan indikator</t>
        </is>
      </c>
      <c r="C58" s="19" t="inlineStr">
        <is>
          <t>Antarmuka</t>
        </is>
      </c>
      <c r="D58" s="17" t="inlineStr">
        <is>
          <t>P3</t>
        </is>
      </c>
      <c r="E58" s="17" t="n">
        <v>18</v>
      </c>
      <c r="F58" s="17" t="inlineStr">
        <is>
          <t>Backlog</t>
        </is>
      </c>
      <c r="G58" s="19" t="inlineStr">
        <is>
          <t>F-07, F-08</t>
        </is>
      </c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4" t="inlineStr">
        <is>
          <t>D</t>
        </is>
      </c>
      <c r="AA58" s="24" t="inlineStr">
        <is>
          <t>D</t>
        </is>
      </c>
      <c r="AB58" s="21" t="n"/>
      <c r="AC58" s="21" t="n"/>
      <c r="AD58" s="21" t="n"/>
      <c r="AE58" s="21" t="n"/>
      <c r="AF58" s="21" t="n"/>
      <c r="AG58" s="21" t="n"/>
      <c r="AH58" s="21" t="n"/>
    </row>
    <row r="59" ht="27.75" customHeight="1">
      <c r="A59" s="17" t="n">
        <v>31</v>
      </c>
      <c r="B59" s="18" t="inlineStr">
        <is>
          <t>Tooltip glosarium istilah dan penempatan disclaimer wajib</t>
        </is>
      </c>
      <c r="C59" s="19" t="inlineStr">
        <is>
          <t>Antarmuka</t>
        </is>
      </c>
      <c r="D59" s="17" t="inlineStr">
        <is>
          <t>P1</t>
        </is>
      </c>
      <c r="E59" s="17" t="n">
        <v>6</v>
      </c>
      <c r="F59" s="17" t="inlineStr">
        <is>
          <t>Backlog</t>
        </is>
      </c>
      <c r="G59" s="19" t="inlineStr">
        <is>
          <t>Kamus istilah</t>
        </is>
      </c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4" t="inlineStr">
        <is>
          <t>D</t>
        </is>
      </c>
      <c r="AB59" s="21" t="n"/>
      <c r="AC59" s="21" t="n"/>
      <c r="AD59" s="21" t="n"/>
      <c r="AE59" s="21" t="n"/>
      <c r="AF59" s="21" t="n"/>
      <c r="AG59" s="21" t="n"/>
      <c r="AH59" s="21" t="n"/>
    </row>
    <row r="60">
      <c r="A60" s="1" t="inlineStr">
        <is>
          <t>KENDALI</t>
        </is>
      </c>
      <c r="B60" s="30" t="n"/>
      <c r="C60" s="30" t="n"/>
      <c r="D60" s="30" t="n"/>
      <c r="E60" s="30" t="n"/>
      <c r="F60" s="30" t="n"/>
      <c r="G60" s="31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</row>
    <row r="61" ht="27.75" customHeight="1">
      <c r="A61" s="17" t="n">
        <v>32</v>
      </c>
      <c r="B61" s="18" t="inlineStr">
        <is>
          <t>Review kepatuhan keluaran terhadap larangan saran finansial</t>
        </is>
      </c>
      <c r="C61" s="19" t="inlineStr">
        <is>
          <t>Kendali</t>
        </is>
      </c>
      <c r="D61" s="17" t="inlineStr">
        <is>
          <t>P1</t>
        </is>
      </c>
      <c r="E61" s="17" t="n">
        <v>10</v>
      </c>
      <c r="F61" s="17" t="inlineStr">
        <is>
          <t>Backlog</t>
        </is>
      </c>
      <c r="G61" s="19" t="inlineStr">
        <is>
          <t>Fitur berjalan</t>
        </is>
      </c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6" t="inlineStr">
        <is>
          <t>T</t>
        </is>
      </c>
      <c r="AB61" s="26" t="inlineStr">
        <is>
          <t>T</t>
        </is>
      </c>
      <c r="AC61" s="21" t="n"/>
      <c r="AD61" s="21" t="n"/>
      <c r="AE61" s="21" t="n"/>
      <c r="AF61" s="21" t="n"/>
      <c r="AG61" s="21" t="n"/>
      <c r="AH61" s="21" t="n"/>
    </row>
    <row r="62">
      <c r="A62" s="1" t="inlineStr">
        <is>
          <t>STABILISASI</t>
        </is>
      </c>
      <c r="B62" s="30" t="n"/>
      <c r="C62" s="30" t="n"/>
      <c r="D62" s="30" t="n"/>
      <c r="E62" s="30" t="n"/>
      <c r="F62" s="30" t="n"/>
      <c r="G62" s="31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</row>
    <row r="63" ht="27.75" customHeight="1">
      <c r="A63" s="17" t="n">
        <v>33</v>
      </c>
      <c r="B63" s="18" t="inlineStr">
        <is>
          <t>Perbaikan bug dan penanganan data emiten tidak lengkap</t>
        </is>
      </c>
      <c r="C63" s="19" t="inlineStr">
        <is>
          <t>Stabilisasi</t>
        </is>
      </c>
      <c r="D63" s="17" t="inlineStr">
        <is>
          <t>P1</t>
        </is>
      </c>
      <c r="E63" s="17" t="n">
        <v>14</v>
      </c>
      <c r="F63" s="17" t="inlineStr">
        <is>
          <t>Backlog</t>
        </is>
      </c>
      <c r="G63" s="19" t="inlineStr">
        <is>
          <t>Seluruh fitur</t>
        </is>
      </c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6" t="inlineStr">
        <is>
          <t>T</t>
        </is>
      </c>
      <c r="AC63" s="26" t="inlineStr">
        <is>
          <t>T</t>
        </is>
      </c>
      <c r="AD63" s="21" t="n"/>
      <c r="AE63" s="21" t="n"/>
      <c r="AF63" s="21" t="n"/>
      <c r="AG63" s="21" t="n"/>
      <c r="AH63" s="21" t="n"/>
    </row>
    <row r="64" ht="27.75" customHeight="1">
      <c r="A64" s="17" t="n">
        <v>34</v>
      </c>
      <c r="B64" s="18" t="inlineStr">
        <is>
          <t>Perapian tampilan dan kesiapan untuk rekaman video</t>
        </is>
      </c>
      <c r="C64" s="19" t="inlineStr">
        <is>
          <t>Stabilisasi</t>
        </is>
      </c>
      <c r="D64" s="17" t="inlineStr">
        <is>
          <t>P1</t>
        </is>
      </c>
      <c r="E64" s="17" t="n">
        <v>10</v>
      </c>
      <c r="F64" s="17" t="inlineStr">
        <is>
          <t>Backlog</t>
        </is>
      </c>
      <c r="G64" s="19" t="inlineStr">
        <is>
          <t>Seluruh halaman</t>
        </is>
      </c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6" t="inlineStr">
        <is>
          <t>T</t>
        </is>
      </c>
      <c r="AD64" s="26" t="inlineStr">
        <is>
          <t>T</t>
        </is>
      </c>
      <c r="AE64" s="21" t="n"/>
      <c r="AF64" s="21" t="n"/>
      <c r="AG64" s="21" t="n"/>
      <c r="AH64" s="21" t="n"/>
    </row>
    <row r="65">
      <c r="A65" s="1" t="inlineStr">
        <is>
          <t>NARASI</t>
        </is>
      </c>
      <c r="B65" s="30" t="n"/>
      <c r="C65" s="30" t="n"/>
      <c r="D65" s="30" t="n"/>
      <c r="E65" s="30" t="n"/>
      <c r="F65" s="30" t="n"/>
      <c r="G65" s="31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</row>
    <row r="66" ht="27.75" customHeight="1">
      <c r="A66" s="17" t="n">
        <v>35</v>
      </c>
      <c r="B66" s="18" t="inlineStr">
        <is>
          <t>Riset narasi dan pernyataan masalah satu kalimat</t>
        </is>
      </c>
      <c r="C66" s="19" t="inlineStr">
        <is>
          <t>Narasi</t>
        </is>
      </c>
      <c r="D66" s="17" t="inlineStr">
        <is>
          <t>P1</t>
        </is>
      </c>
      <c r="E66" s="17" t="n">
        <v>4</v>
      </c>
      <c r="F66" s="17" t="inlineStr">
        <is>
          <t>Backlog</t>
        </is>
      </c>
      <c r="G66" s="19" t="inlineStr">
        <is>
          <t>PRD final</t>
        </is>
      </c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0" t="inlineStr">
        <is>
          <t>R</t>
        </is>
      </c>
      <c r="AE66" s="21" t="n"/>
      <c r="AF66" s="21" t="n"/>
      <c r="AG66" s="21" t="n"/>
      <c r="AH66" s="21" t="n"/>
    </row>
    <row r="67" ht="27.75" customHeight="1">
      <c r="A67" s="17" t="n">
        <v>36</v>
      </c>
      <c r="B67" s="18" t="inlineStr">
        <is>
          <t>Penyusunan struktur cerita video judging tiga menit</t>
        </is>
      </c>
      <c r="C67" s="19" t="inlineStr">
        <is>
          <t>Narasi</t>
        </is>
      </c>
      <c r="D67" s="17" t="inlineStr">
        <is>
          <t>P1</t>
        </is>
      </c>
      <c r="E67" s="17" t="n">
        <v>6</v>
      </c>
      <c r="F67" s="17" t="inlineStr">
        <is>
          <t>Backlog</t>
        </is>
      </c>
      <c r="G67" s="19" t="inlineStr">
        <is>
          <t>Narasi masalah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2" t="inlineStr">
        <is>
          <t>PRD</t>
        </is>
      </c>
      <c r="AE67" s="22" t="inlineStr">
        <is>
          <t>PRD</t>
        </is>
      </c>
      <c r="AF67" s="21" t="n"/>
      <c r="AG67" s="21" t="n"/>
      <c r="AH67" s="21" t="n"/>
    </row>
    <row r="68" ht="27.75" customHeight="1">
      <c r="A68" s="17" t="n">
        <v>37</v>
      </c>
      <c r="B68" s="18" t="inlineStr">
        <is>
          <t>Pembuatan aset visual, thumbnail, dan materi pendukung</t>
        </is>
      </c>
      <c r="C68" s="19" t="inlineStr">
        <is>
          <t>Narasi</t>
        </is>
      </c>
      <c r="D68" s="17" t="inlineStr">
        <is>
          <t>P2</t>
        </is>
      </c>
      <c r="E68" s="17" t="n">
        <v>8</v>
      </c>
      <c r="F68" s="17" t="inlineStr">
        <is>
          <t>Backlog</t>
        </is>
      </c>
      <c r="G68" s="19" t="inlineStr">
        <is>
          <t>Struktur cerita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5" t="inlineStr">
        <is>
          <t>PD</t>
        </is>
      </c>
      <c r="AF68" s="25" t="inlineStr">
        <is>
          <t>PD</t>
        </is>
      </c>
      <c r="AG68" s="21" t="n"/>
      <c r="AH68" s="21" t="n"/>
    </row>
    <row r="69">
      <c r="A69" s="1" t="inlineStr">
        <is>
          <t>VIDEO</t>
        </is>
      </c>
      <c r="B69" s="30" t="n"/>
      <c r="C69" s="30" t="n"/>
      <c r="D69" s="30" t="n"/>
      <c r="E69" s="30" t="n"/>
      <c r="F69" s="30" t="n"/>
      <c r="G69" s="31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</row>
    <row r="70" ht="27.75" customHeight="1">
      <c r="A70" s="17" t="n">
        <v>38</v>
      </c>
      <c r="B70" s="18" t="inlineStr">
        <is>
          <t>Rekaman percobaan untuk uji durasi dan kejelasan alur</t>
        </is>
      </c>
      <c r="C70" s="19" t="inlineStr">
        <is>
          <t>Video</t>
        </is>
      </c>
      <c r="D70" s="17" t="inlineStr">
        <is>
          <t>P1</t>
        </is>
      </c>
      <c r="E70" s="17" t="n">
        <v>4</v>
      </c>
      <c r="F70" s="17" t="inlineStr">
        <is>
          <t>Backlog</t>
        </is>
      </c>
      <c r="G70" s="19" t="inlineStr">
        <is>
          <t>Fitur P1 jalan</t>
        </is>
      </c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6" t="inlineStr">
        <is>
          <t>T</t>
        </is>
      </c>
      <c r="AG70" s="21" t="n"/>
      <c r="AH70" s="21" t="n"/>
    </row>
    <row r="71" ht="27.75" customHeight="1">
      <c r="A71" s="17" t="n">
        <v>39</v>
      </c>
      <c r="B71" s="18" t="inlineStr">
        <is>
          <t>Rekaman video teaser satu menit</t>
        </is>
      </c>
      <c r="C71" s="19" t="inlineStr">
        <is>
          <t>Video</t>
        </is>
      </c>
      <c r="D71" s="17" t="inlineStr">
        <is>
          <t>P1</t>
        </is>
      </c>
      <c r="E71" s="17" t="n">
        <v>5</v>
      </c>
      <c r="F71" s="17" t="inlineStr">
        <is>
          <t>Backlog</t>
        </is>
      </c>
      <c r="G71" s="19" t="inlineStr">
        <is>
          <t>UI dipoles</t>
        </is>
      </c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4" t="inlineStr">
        <is>
          <t>D</t>
        </is>
      </c>
      <c r="AG71" s="21" t="n"/>
      <c r="AH71" s="21" t="n"/>
    </row>
    <row r="72" ht="27.75" customHeight="1">
      <c r="A72" s="17" t="n">
        <v>40</v>
      </c>
      <c r="B72" s="18" t="inlineStr">
        <is>
          <t>Rekaman video judging maksimal tiga menit</t>
        </is>
      </c>
      <c r="C72" s="19" t="inlineStr">
        <is>
          <t>Video</t>
        </is>
      </c>
      <c r="D72" s="17" t="inlineStr">
        <is>
          <t>P1</t>
        </is>
      </c>
      <c r="E72" s="17" t="n">
        <v>8</v>
      </c>
      <c r="F72" s="17" t="inlineStr">
        <is>
          <t>Backlog</t>
        </is>
      </c>
      <c r="G72" s="19" t="inlineStr">
        <is>
          <t>UI dipoles</t>
        </is>
      </c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4" t="inlineStr">
        <is>
          <t>D</t>
        </is>
      </c>
      <c r="AG72" s="24" t="inlineStr">
        <is>
          <t>D</t>
        </is>
      </c>
      <c r="AH72" s="21" t="n"/>
    </row>
    <row r="73" ht="27.75" customHeight="1">
      <c r="A73" s="17" t="n">
        <v>41</v>
      </c>
      <c r="B73" s="18" t="inlineStr">
        <is>
          <t>Penyuntingan dan pengunggahan kedua video</t>
        </is>
      </c>
      <c r="C73" s="19" t="inlineStr">
        <is>
          <t>Video</t>
        </is>
      </c>
      <c r="D73" s="17" t="inlineStr">
        <is>
          <t>P1</t>
        </is>
      </c>
      <c r="E73" s="17" t="n">
        <v>8</v>
      </c>
      <c r="F73" s="17" t="inlineStr">
        <is>
          <t>Backlog</t>
        </is>
      </c>
      <c r="G73" s="19" t="inlineStr">
        <is>
          <t>Rekaman selesai</t>
        </is>
      </c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6" t="inlineStr">
        <is>
          <t>T</t>
        </is>
      </c>
      <c r="AH73" s="26" t="inlineStr">
        <is>
          <t>T</t>
        </is>
      </c>
    </row>
    <row r="74">
      <c r="A74" s="1" t="inlineStr">
        <is>
          <t>PENUTUPAN</t>
        </is>
      </c>
      <c r="B74" s="30" t="n"/>
      <c r="C74" s="30" t="n"/>
      <c r="D74" s="30" t="n"/>
      <c r="E74" s="30" t="n"/>
      <c r="F74" s="30" t="n"/>
      <c r="G74" s="31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</row>
    <row r="75" ht="27.75" customHeight="1">
      <c r="A75" s="17" t="n">
        <v>42</v>
      </c>
      <c r="B75" s="18" t="inlineStr">
        <is>
          <t>Audit riwayat commit dan penghapusan seluruh kunci API</t>
        </is>
      </c>
      <c r="C75" s="19" t="inlineStr">
        <is>
          <t>Penutupan</t>
        </is>
      </c>
      <c r="D75" s="17" t="inlineStr">
        <is>
          <t>P1</t>
        </is>
      </c>
      <c r="E75" s="17" t="n">
        <v>3</v>
      </c>
      <c r="F75" s="17" t="inlineStr">
        <is>
          <t>Backlog</t>
        </is>
      </c>
      <c r="G75" s="19" t="inlineStr">
        <is>
          <t>Sebelum submit</t>
        </is>
      </c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6" t="inlineStr">
        <is>
          <t>T</t>
        </is>
      </c>
    </row>
    <row r="76" ht="27.75" customHeight="1">
      <c r="A76" s="17" t="n">
        <v>43</v>
      </c>
      <c r="B76" s="18" t="inlineStr">
        <is>
          <t>Verifikasi kelengkapan checklist submission</t>
        </is>
      </c>
      <c r="C76" s="19" t="inlineStr">
        <is>
          <t>Penutupan</t>
        </is>
      </c>
      <c r="D76" s="17" t="inlineStr">
        <is>
          <t>P1</t>
        </is>
      </c>
      <c r="E76" s="17" t="n">
        <v>3</v>
      </c>
      <c r="F76" s="17" t="inlineStr">
        <is>
          <t>Backlog</t>
        </is>
      </c>
      <c r="G76" s="19" t="inlineStr">
        <is>
          <t>Semua deliverable</t>
        </is>
      </c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1" t="n"/>
      <c r="AB76" s="21" t="n"/>
      <c r="AC76" s="21" t="n"/>
      <c r="AD76" s="21" t="n"/>
      <c r="AE76" s="21" t="n"/>
      <c r="AF76" s="21" t="n"/>
      <c r="AG76" s="21" t="n"/>
      <c r="AH76" s="26" t="inlineStr">
        <is>
          <t>T</t>
        </is>
      </c>
    </row>
    <row r="77" ht="27.75" customHeight="1">
      <c r="A77" s="17" t="n">
        <v>44</v>
      </c>
      <c r="B77" s="18" t="inlineStr">
        <is>
          <t>Unggahan media sosial menandai akun resmi Sectors</t>
        </is>
      </c>
      <c r="C77" s="19" t="inlineStr">
        <is>
          <t>Penutupan</t>
        </is>
      </c>
      <c r="D77" s="17" t="inlineStr">
        <is>
          <t>P1</t>
        </is>
      </c>
      <c r="E77" s="17" t="n">
        <v>2</v>
      </c>
      <c r="F77" s="17" t="inlineStr">
        <is>
          <t>Backlog</t>
        </is>
      </c>
      <c r="G77" s="19" t="inlineStr">
        <is>
          <t>Video terunggah</t>
        </is>
      </c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7" t="inlineStr">
        <is>
          <t>Live</t>
        </is>
      </c>
    </row>
    <row r="78" ht="27.75" customHeight="1">
      <c r="A78" s="17" t="n">
        <v>45</v>
      </c>
      <c r="B78" s="18" t="inlineStr">
        <is>
          <t>Pengiriman submission di portal (repositori membeku)</t>
        </is>
      </c>
      <c r="C78" s="19" t="inlineStr">
        <is>
          <t>Penutupan</t>
        </is>
      </c>
      <c r="D78" s="17" t="inlineStr">
        <is>
          <t>P1</t>
        </is>
      </c>
      <c r="E78" s="17" t="n">
        <v>2</v>
      </c>
      <c r="F78" s="17" t="inlineStr">
        <is>
          <t>Backlog</t>
        </is>
      </c>
      <c r="G78" s="19" t="inlineStr">
        <is>
          <t>Semua siap</t>
        </is>
      </c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7" t="inlineStr">
        <is>
          <t>Live</t>
        </is>
      </c>
    </row>
    <row r="80">
      <c r="A80" s="6" t="inlineStr">
        <is>
          <t>RINGKASAN</t>
        </is>
      </c>
    </row>
    <row r="81">
      <c r="A81" s="4" t="inlineStr">
        <is>
          <t>Total task</t>
        </is>
      </c>
      <c r="C81" s="5">
        <f>COUNTA(B10:B78)</f>
        <v/>
      </c>
    </row>
    <row r="82">
      <c r="A82" s="4" t="inlineStr">
        <is>
          <t>Total jam</t>
        </is>
      </c>
      <c r="C82" s="5">
        <f>SUM(E10:E78)</f>
        <v/>
      </c>
    </row>
    <row r="83">
      <c r="A83" s="4" t="inlineStr">
        <is>
          <t>Jam per hari disyaratkan</t>
        </is>
      </c>
      <c r="C83" s="28">
        <f>C82/27</f>
        <v/>
      </c>
    </row>
    <row r="84">
      <c r="A84" s="4" t="inlineStr">
        <is>
          <t>Task selesai</t>
        </is>
      </c>
      <c r="C84" s="5">
        <f>COUNTIF(F10:F78,"Done")</f>
        <v/>
      </c>
    </row>
    <row r="85">
      <c r="A85" s="4" t="inlineStr">
        <is>
          <t>Persentase selesai</t>
        </is>
      </c>
      <c r="C85" s="29">
        <f>IFERROR(COUNTIF(F10:F78,"Done")/COUNTA(B10:B78),0)</f>
        <v/>
      </c>
    </row>
    <row r="86">
      <c r="A86" s="4" t="inlineStr">
        <is>
          <t>Jam tersisa</t>
        </is>
      </c>
      <c r="C86" s="5">
        <f>SUMIF(F10:F78,"&lt;&gt;Done",E10:E78)</f>
        <v/>
      </c>
    </row>
    <row r="88">
      <c r="A88" s="4" t="inlineStr">
        <is>
          <t>Perbarui kolom Status ke Backlog / In Progress / Done / On Hold / Won't Do / Potential Delay. Kolom Jam Tersisa menunjukkan sisa beban sebenarnya.</t>
        </is>
      </c>
    </row>
  </sheetData>
  <mergeCells count="29">
    <mergeCell ref="A32:G32"/>
    <mergeCell ref="A17:G17"/>
    <mergeCell ref="A53:G53"/>
    <mergeCell ref="A62:G62"/>
    <mergeCell ref="A43:G43"/>
    <mergeCell ref="A28:G28"/>
    <mergeCell ref="A9:G9"/>
    <mergeCell ref="A39:G39"/>
    <mergeCell ref="A34:G34"/>
    <mergeCell ref="A30:G30"/>
    <mergeCell ref="A15:G15"/>
    <mergeCell ref="L7:R7"/>
    <mergeCell ref="A60:G60"/>
    <mergeCell ref="A49:G49"/>
    <mergeCell ref="A51:G51"/>
    <mergeCell ref="A45:G45"/>
    <mergeCell ref="A69:G69"/>
    <mergeCell ref="A25:G25"/>
    <mergeCell ref="A65:G65"/>
    <mergeCell ref="A41:G41"/>
    <mergeCell ref="S7:Y7"/>
    <mergeCell ref="A37:G37"/>
    <mergeCell ref="A74:G74"/>
    <mergeCell ref="A21:G21"/>
    <mergeCell ref="H7:K7"/>
    <mergeCell ref="A57:G57"/>
    <mergeCell ref="A47:G47"/>
    <mergeCell ref="Z7:AH7"/>
    <mergeCell ref="A23:G23"/>
  </mergeCells>
  <pageMargins left="0.75" right="0.75" top="1" bottom="1" header="0.511811023622047" footer="0.511811023622047"/>
  <pageSetup orientation="landscape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2026-09-04T04:14:30Z</dcterms:created>
  <dcterms:modified xmlns:dcterms="http://purl.org/dc/terms/" xmlns:xsi="http://www.w3.org/2001/XMLSchema-instance" xsi:type="dcterms:W3CDTF">2026-09-04T10:12:05Z</dcterms:modified>
  <cp:lastModifiedBy>ACER</cp:lastModifiedBy>
  <cp:revision>0</cp:revision>
</cp:coreProperties>
</file>